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HTL_Bulme\SPL_Project_Watermelon\CandyMachine_Watermelon\Stuecklisten\"/>
    </mc:Choice>
  </mc:AlternateContent>
  <xr:revisionPtr revIDLastSave="0" documentId="13_ncr:1_{CE24B12C-F74E-4304-9E36-188ED1004702}" xr6:coauthVersionLast="47" xr6:coauthVersionMax="47" xr10:uidLastSave="{00000000-0000-0000-0000-000000000000}"/>
  <bookViews>
    <workbookView xWindow="-110" yWindow="-110" windowWidth="19420" windowHeight="11500" xr2:uid="{89EA959D-B92B-42F9-9CA3-2FA253C64293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6" i="1"/>
  <c r="D15" i="1"/>
  <c r="E9" i="1"/>
  <c r="E11" i="1"/>
  <c r="E10" i="1"/>
  <c r="E5" i="1"/>
  <c r="C23" i="1"/>
  <c r="C24" i="1"/>
  <c r="E7" i="1"/>
  <c r="D13" i="1"/>
</calcChain>
</file>

<file path=xl/sharedStrings.xml><?xml version="1.0" encoding="utf-8"?>
<sst xmlns="http://schemas.openxmlformats.org/spreadsheetml/2006/main" count="89" uniqueCount="83">
  <si>
    <t>Elektrobox:</t>
  </si>
  <si>
    <t>(x) = wie oft bestellen</t>
  </si>
  <si>
    <t>Komponente</t>
  </si>
  <si>
    <t>Bauteil</t>
  </si>
  <si>
    <t>Anzahl(Bestell.)</t>
  </si>
  <si>
    <t>Einzelpreis [€]</t>
  </si>
  <si>
    <t>Bestellpreis [€]</t>
  </si>
  <si>
    <t>Daten</t>
  </si>
  <si>
    <t>Link_Einkauf</t>
  </si>
  <si>
    <t>ArduinoNano</t>
  </si>
  <si>
    <t>ESP32 NodeMCU-32S Lua</t>
  </si>
  <si>
    <t>https://asset.conrad.com/media10/add/160267/c1/-/de/001656367DS01/datenblatt-1656367-joy-it-sbc-nodemcu-esp32-entwickler-platine-node-mcu-esp32-modul.pdf</t>
  </si>
  <si>
    <t>https://www.conrad.at/de/p/joy-it-sbc-nodemcu-esp32-entwickler-platine-node-mcu-esp32-modul-1656367.html?ef_id=:G:s&amp;msclkid=da61378b6101124944875e30cf8c5ca2&amp;utm_source=bing&amp;utm_medium=cpc&amp;utm_campaign=0_Dynamic%20Search%20Ads&amp;utm_term=conrad&amp;utm_content=All%20Webpages%20DSA</t>
  </si>
  <si>
    <t>LCD Display</t>
  </si>
  <si>
    <t>LCD-Display 16 x 2 DEM16216SGH</t>
  </si>
  <si>
    <t>https://asset.conrad.com/media10/add/160267/c1/-/en/002238811DS00/datenblatt-2238811-display-elektronik-lcd-display-16-x-2-pixel-b-x-h-x-t-80-x-36-x-71-mm-dem16216sgh.pdf</t>
  </si>
  <si>
    <t>https://www.conrad.de/de/p/display-elektronik-lcd-display-16-x-2-pixel-b-x-h-x-t-80-x-36-x-7-1-mm-dem16216sgh-2238811.html?msockid=2baa5f8a6f0464b722b04a026ea76506</t>
  </si>
  <si>
    <t>Motor</t>
  </si>
  <si>
    <t xml:space="preserve">RS PRO Bürsten-Getriebemotor </t>
  </si>
  <si>
    <t>https://docs.rs-online.com/e13a/A700000007082245.pdf</t>
  </si>
  <si>
    <t>https://at.rs-online.com/web/p/gleichstrommotoren/0420693?gb=a</t>
  </si>
  <si>
    <t>Leiterplatten-Klemmblöcke</t>
  </si>
  <si>
    <t>DG305-5.0-02P-12-00A(H)</t>
  </si>
  <si>
    <t>https://jlcpcb.com/partdetail/DEGSON-DG305_5_0_02P_12_00A_H/C5632695</t>
  </si>
  <si>
    <t>Leiterplatten-Steckverbinder</t>
  </si>
  <si>
    <t>PBC03SAAN</t>
  </si>
  <si>
    <t>https://s3.amazonaws.com/catalogspreads-pdf/PAGE112-113%20.100%20MALE%20HDR.pdf</t>
  </si>
  <si>
    <t>https://www.digikey.com/en/products/detail/sullins-connector-solutions/PBC03SAAN/859624?msockid=0afce313f8e964da3532f40df9e665b4</t>
  </si>
  <si>
    <t>Festwiderstand</t>
  </si>
  <si>
    <t>WAFER-HA2.54-3PZZ</t>
  </si>
  <si>
    <t>https://jlcpcb.com/partdetail/XUNPU-WAFER_HA2_543PZZ/C5374807</t>
  </si>
  <si>
    <t>WAFER-HA2.54-4PZZ</t>
  </si>
  <si>
    <t>https://jlcpcb.com/partdetail/XUNPU-WAFER_HA2_544PZZ/C5359651</t>
  </si>
  <si>
    <t>Verdrahtungskanal</t>
  </si>
  <si>
    <t>HellermannTyton HelaDuct Flex40</t>
  </si>
  <si>
    <t>https://docs.rs-online.com/8255/0900766b814a6343.pdf</t>
  </si>
  <si>
    <t>https://at.rs-online.com/web/p/kabelkanale/7568859</t>
  </si>
  <si>
    <t>H-Bruecke</t>
  </si>
  <si>
    <t xml:space="preserve">L298N </t>
  </si>
  <si>
    <t>https://docs.rs-online.com/6243/0900766b80060c26.pdf</t>
  </si>
  <si>
    <t>https://www.amazon.de/DollaTek-Controller-Board-Modul-verdoppeln-Smart-Auto-Roboter/dp/B07DK6Q8F9/ref=sr_1_5?crid=Z1C708SWCMXT&amp;dib=eyJ2IjoiMSJ9.78d1CvJQQWTRW5uCH8eqYAAxxZJsSa2vuSc9SLIfAMrz0B_y91TM6tWOz5rVZTBQBetnOCdq4hDbpoyDSPdz7kRmd8H5Z_0gX_GMeHnkqCC-KIxEokGFL-V3_VA0pIN0x19qTZ3d4srLTTyP9bTz5ukQ2aeOuJhNbfRR7jP0_fXe9u2jcAjJ2z9fSO5z34Oj9OGW-MrE22sCKDk_V2gJVB0TixJ68x3DRVDrDgr8u6knef2Z56HJTTYmwf7dr9RSIXaSOjmcc9z925ZULVx4oj2XTYR4DQY8Kyg-NfUKD4A.Du4zvk3Q9jizNoTPSbHLg1aeTZiyrK05KZZJOQSzc2o&amp;dib_tag=se&amp;keywords=l298n+h-br%C3%BCcken-modul&amp;qid=1769152549&amp;sprefix=L298N+%2Caps%2C163&amp;sr=8-5</t>
  </si>
  <si>
    <t>Spannungsregler</t>
  </si>
  <si>
    <t>LM2596-HW411</t>
  </si>
  <si>
    <t>https://cdn-reichelt.de/documents/datenblatt/A300/ME050.pdf</t>
  </si>
  <si>
    <t>https://www.reichelt.at/at/de/shop/produkt/entwicklerboards_-_spannungsregler_dc_dc-wandler_lm2596-282577?PROVID=2865&amp;msclkid=058b24a440d41f7684da4d1ff7780d1a&amp;utm_source=bing&amp;utm_medium=cpc&amp;utm_campaign=(AT%3A%20PMax)%20-%20Alle%20Produkte&amp;utm_term=2324367582954993&amp;utm_content=Shopping%20Only</t>
  </si>
  <si>
    <t>Spannungsverteiler</t>
  </si>
  <si>
    <t>CS-1200-10(L11.6)PA6T</t>
  </si>
  <si>
    <t>https://www.lcsc.com/datasheet/C18214196.pdf?spm=wm.sxq.inf.ggs&amp;lcsc_vid=FlkIVAcFT1QNAVMET1YMBQZfQQQIBFAFR1ReVlJeRFExVlNRRFhfV1RXQVVaUjsOAxUeFF5JWBYZEEoEHg8JSQcJGk4%3D</t>
  </si>
  <si>
    <t xml:space="preserve">LCD Pin Header </t>
  </si>
  <si>
    <t>Steckverbinder 4-polig CI0604P1V00-NH</t>
  </si>
  <si>
    <t>https://www.digikey.at/de/products/detail/cvilux-usa/CI0604P1V00-NH/25320625?gclid=4cdf2c11b88d10b6cde645d3d5cc2080&amp;gclsrc=3p.ds&amp;&amp;utm_adgroup=&amp;utm_source=bing&amp;utm_medium=cpc&amp;utm_campaign=PMax%20Shopping_Product_High%20ROAS&amp;utm_term=&amp;productid=25320625&amp;utm_content=&amp;utm_id=bi_cmp-627379374_adg-1298524459035859_ad-81157838939736_pla-2332957516180621_dev-c_ext-_prd-25320625&amp;msclkid=4cdf2c11b88d10b6cde645d3d5cc2080</t>
  </si>
  <si>
    <t>Taster</t>
  </si>
  <si>
    <t>APIELE Druckknopf (24Stk./Lieferung)</t>
  </si>
  <si>
    <t>2 (1x)</t>
  </si>
  <si>
    <t>20x20x20mm selbstreset Schalter; (AC)250V;1.5A; Kontakttyp:einpolig</t>
  </si>
  <si>
    <t>https://www.amazon.de/APIELE-Aus-Taste-Runder-Druckknopf-Selbstreset-Schalter/dp/B0F4M7M4CQ/ref=sr_1_3_sspa?__mk_de_DE=%C3%85M%C3%85%C5%BD%C3%95%C3%91&amp;crid=2RK02GJPLCTRI&amp;dib=eyJ2IjoiMSJ9.t4EvF1WlmkgtS4nwNdXy2BXjElHpObUcBJ18aoP13M18U_TLv2q1_b9N2C8T5_KcaNEhJVgb5lUWMQfZS9vg6-h52G9R8Ds-nVr6cVQ6iy9Bbyt46irYhvQ788S3Qvs9l2srBtT8RgmBlzOtWTI5N4sS8HxobLtUfOcJCg2uR4aQLbhuDWx9VrX9M99aYVIm.98Y1DlDJGYoUvJAY5WUKhmHRLtFXmU3t3hGqV2ZILWw&amp;dib_tag=se&amp;keywords=dr%C3%BCckbutton&amp;qid=1768295208&amp;sprefix=dr%C3%BCckbutton%2Caps%2C186&amp;sr=8-3-spons&amp;aref=5WM1NeMAUv&amp;sp_csd=d2lkZ2V0TmFtZT1zcF9hdGY&amp;th=1</t>
  </si>
  <si>
    <t>MakerBeam 100mm</t>
  </si>
  <si>
    <t>MakerBeam 100mm (4Stk./LE)</t>
  </si>
  <si>
    <t>8 (2x)</t>
  </si>
  <si>
    <t>Aluminium-Profil; 15x15x100</t>
  </si>
  <si>
    <t>https://www.makerbeam.com/100mm-4p-clear-makerbeamxl-15mmx15mm.html</t>
  </si>
  <si>
    <t>MakerBeam 500mm</t>
  </si>
  <si>
    <t xml:space="preserve">MakerBeam 500mm </t>
  </si>
  <si>
    <t>2 (2x)</t>
  </si>
  <si>
    <t>Aluminium-Profil; 15x15x500</t>
  </si>
  <si>
    <t>https://www.makerbeam.com/500mm-1p-clear-makerbeamxl-15mmx15mm.html</t>
  </si>
  <si>
    <t>Blech (Grundfläche + back)</t>
  </si>
  <si>
    <t>verzinktes Stahlblech 0,55mm, Länge: 615, Breite: 100</t>
  </si>
  <si>
    <t>1 (1x)</t>
  </si>
  <si>
    <t>Verbindung front oben</t>
  </si>
  <si>
    <t>MakerBeam XL right angle bracket (12Stk/LE)</t>
  </si>
  <si>
    <t>https://drive.google.com/drive/folders/0B8h5C_ek_fmKOGI4Z3lSbGFvWG8?resourcekey=0-TGu261XBmWEACJRamddSRA</t>
  </si>
  <si>
    <t>https://www.makerbeam.com/makerbeam-makerbeam-xl-right-angle-bracket-12p.html</t>
  </si>
  <si>
    <t>Verbindung back + front innen/unten + unten=&gt; selber konstruiert</t>
  </si>
  <si>
    <t>MakerBeam  Winkelverbinder (12Stk/LE)</t>
  </si>
  <si>
    <t>10 (1x)</t>
  </si>
  <si>
    <t>https://drive.google.com/drive/folders/0B8h5C_ek_fmKSnRWZjgwZkZRaEk?resourcekey=0-w2NCzmt8F0prDoZblum-0w</t>
  </si>
  <si>
    <t>https://www.makerbeam.com/makerbeam-right-angle-brackets-12p.html</t>
  </si>
  <si>
    <t>Innensechskantschraube</t>
  </si>
  <si>
    <t>MakerBeam 100 Stück, M3, 6mm, Innensechskantschraube mit Knopfkopf für 15x15mm ( ISO 7380)</t>
  </si>
  <si>
    <t>ISO 7380</t>
  </si>
  <si>
    <t>https://www.makerbeam.com/openbeam-button-head-socket-bolt-6mm-100p-for-open.html</t>
  </si>
  <si>
    <t>Sechskantmuttern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</si>
</sst>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F1111"/>
      <name val="Aptos Narrow"/>
      <scheme val="minor"/>
    </font>
    <font>
      <sz val="11"/>
      <color rgb="FF111827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charset val="1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1"/>
    <xf numFmtId="0" fontId="0" fillId="0" borderId="1" xfId="0" applyBorder="1"/>
    <xf numFmtId="0" fontId="2" fillId="2" borderId="1" xfId="0" applyFont="1" applyFill="1" applyBorder="1" applyAlignment="1">
      <alignment wrapText="1"/>
    </xf>
    <xf numFmtId="0" fontId="1" fillId="0" borderId="1" xfId="1" applyFill="1" applyBorder="1"/>
    <xf numFmtId="0" fontId="1" fillId="0" borderId="0" xfId="1" applyFill="1"/>
    <xf numFmtId="0" fontId="3" fillId="0" borderId="0" xfId="0" applyFont="1" applyAlignment="1">
      <alignment wrapText="1"/>
    </xf>
    <xf numFmtId="0" fontId="0" fillId="3" borderId="0" xfId="0" applyFill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1" applyFill="1" applyBorder="1" applyAlignment="1">
      <alignment horizontal="center"/>
    </xf>
    <xf numFmtId="0" fontId="1" fillId="0" borderId="0" xfId="1" applyFill="1" applyBorder="1"/>
    <xf numFmtId="0" fontId="4" fillId="0" borderId="0" xfId="1" applyFont="1" applyFill="1" applyBorder="1" applyAlignment="1">
      <alignment horizontal="center" wrapText="1"/>
    </xf>
    <xf numFmtId="0" fontId="6" fillId="0" borderId="0" xfId="0" applyFont="1" applyAlignment="1">
      <alignment horizontal="right"/>
    </xf>
    <xf numFmtId="164" fontId="0" fillId="0" borderId="0" xfId="0" applyNumberFormat="1"/>
    <xf numFmtId="0" fontId="1" fillId="0" borderId="0" xfId="2" applyFill="1" applyBorder="1"/>
    <xf numFmtId="2" fontId="0" fillId="0" borderId="0" xfId="0" applyNumberFormat="1"/>
  </cellXfs>
  <cellStyles count="3">
    <cellStyle name="Hyperlink" xfId="1" xr:uid="{00000000-000B-0000-0000-000008000000}"/>
    <cellStyle name="Link" xfId="2" builtinId="8"/>
    <cellStyle name="Standard" xfId="0" builtinId="0"/>
  </cellStyles>
  <dxfs count="1"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36D872-A4D5-4979-869F-B06EACB3E382}" name="Tabelle1" displayName="Tabelle1" ref="A4:G23" totalsRowShown="0" headerRowBorderDxfId="0">
  <autoFilter ref="A4:G23" xr:uid="{A236D872-A4D5-4979-869F-B06EACB3E382}"/>
  <tableColumns count="7">
    <tableColumn id="1" xr3:uid="{62780727-F03F-413A-B4FA-794B3BB262AF}" name="Komponente"/>
    <tableColumn id="2" xr3:uid="{AC81545B-BC9F-40FD-9271-58CD906AADF4}" name="Bauteil"/>
    <tableColumn id="3" xr3:uid="{59AF9481-8DC4-4A25-94A2-C3569534B0C2}" name="Anzahl(Bestell.)"/>
    <tableColumn id="4" xr3:uid="{A68B7A29-7D92-4497-88F1-02987D7D8549}" name="Einzelpreis [€]"/>
    <tableColumn id="5" xr3:uid="{B92224E2-1825-4DC8-9C46-6503FC068C0C}" name="Bestellpreis [€]"/>
    <tableColumn id="6" xr3:uid="{12CEB865-441F-4407-94E8-F46BF68A4D74}" name="Daten" dataCellStyle="Hyperlink"/>
    <tableColumn id="7" xr3:uid="{0F0CDB5E-5D1D-402E-A22D-6CC1272D937E}" name="Link_Einkauf" dataCellStyle="Hyperlin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0B8h5C_ek_fmKOGI4Z3lSbGFvWG8?resourcekey=0-TGu261XBmWEACJRamddSRA" TargetMode="External"/><Relationship Id="rId13" Type="http://schemas.openxmlformats.org/officeDocument/2006/relationships/hyperlink" Target="https://www.makerbeam.com/makerbeam-right-angle-brackets-12p.html" TargetMode="External"/><Relationship Id="rId18" Type="http://schemas.openxmlformats.org/officeDocument/2006/relationships/hyperlink" Target="https://jlcpcb.com/partdetail/XUNPU-WAFER_HA2_543PZZ/C5374807" TargetMode="External"/><Relationship Id="rId26" Type="http://schemas.openxmlformats.org/officeDocument/2006/relationships/hyperlink" Target="https://cdn-reichelt.de/documents/datenblatt/A300/ME050.pdf" TargetMode="External"/><Relationship Id="rId3" Type="http://schemas.openxmlformats.org/officeDocument/2006/relationships/hyperlink" Target="https://www.makerbeam.com/500mm-1p-clear-makerbeamxl-15mmx15mm.html" TargetMode="External"/><Relationship Id="rId21" Type="http://schemas.openxmlformats.org/officeDocument/2006/relationships/hyperlink" Target="https://jlcpcb.com/partdetail/DEGSON-DG305_5_0_02P_12_00A_H/C5632695" TargetMode="External"/><Relationship Id="rId7" Type="http://schemas.openxmlformats.org/officeDocument/2006/relationships/hyperlink" Target="https://www.makerbeam.com/makerbeam-makerbeam-xl-right-angle-bracket-12p.html" TargetMode="External"/><Relationship Id="rId12" Type="http://schemas.openxmlformats.org/officeDocument/2006/relationships/hyperlink" Target="https://drive.google.com/drive/folders/0B8h5C_ek_fmKSnRWZjgwZkZRaEk?resourcekey=0-w2NCzmt8F0prDoZblum-0w" TargetMode="External"/><Relationship Id="rId17" Type="http://schemas.openxmlformats.org/officeDocument/2006/relationships/hyperlink" Target="https://jlcpcb.com/partdetail/XUNPU-WAFER_HA2_543PZZ/C5374807" TargetMode="External"/><Relationship Id="rId25" Type="http://schemas.openxmlformats.org/officeDocument/2006/relationships/hyperlink" Target="https://www.reichelt.at/at/de/shop/produkt/entwicklerboards_-_spannungsregler_dc_dc-wandler_lm2596-282577?PROVID=2865&amp;msclkid=058b24a440d41f7684da4d1ff7780d1a&amp;utm_source=bing&amp;utm_medium=cpc&amp;utm_campaign=(AT%3A%20PMax)%20-%20Alle%20Produkte&amp;utm_term=2324367582954993&amp;utm_content=Shopping%20Only" TargetMode="External"/><Relationship Id="rId2" Type="http://schemas.openxmlformats.org/officeDocument/2006/relationships/hyperlink" Target="https://www.makerbeam.com/100mm-4p-clear-makerbeamxl-15mmx15mm.html" TargetMode="External"/><Relationship Id="rId16" Type="http://schemas.openxmlformats.org/officeDocument/2006/relationships/hyperlink" Target="https://asset.conrad.com/media10/add/160267/c1/-/de/001656367DS01/datenblatt-1656367-joy-it-sbc-nodemcu-esp32-entwickler-platine-node-mcu-esp32-modul.pdf" TargetMode="External"/><Relationship Id="rId20" Type="http://schemas.openxmlformats.org/officeDocument/2006/relationships/hyperlink" Target="https://jlcpcb.com/partdetail/XUNPU-WAFER_HA2_544PZZ/C5359651" TargetMode="External"/><Relationship Id="rId29" Type="http://schemas.openxmlformats.org/officeDocument/2006/relationships/hyperlink" Target="https://asset.conrad.com/media10/add/160267/c1/-/en/002238811DS00/datenblatt-2238811-display-elektronik-lcd-display-16-x-2-pixel-b-x-h-x-t-80-x-36-x-71-mm-dem16216sgh.pdf" TargetMode="External"/><Relationship Id="rId1" Type="http://schemas.openxmlformats.org/officeDocument/2006/relationships/hyperlink" Target="https://www.amazon.de/APIELE-Aus-Taste-Runder-Druckknopf-Selbstreset-Schalter/dp/B0F4M7M4CQ/ref=sr_1_3_sspa?__mk_de_DE=%C3%85M%C3%85%C5%BD%C3%95%C3%91&amp;crid=2RK02GJPLCTRI&amp;dib=eyJ2IjoiMSJ9.t4EvF1WlmkgtS4nwNdXy2BXjElHpObUcBJ18aoP13M18U_TLv2q1_b9N2C8T5_KcaNEhJVgb5lUWMQfZS9vg6-h52G9R8Ds-nVr6cVQ6iy9Bbyt46irYhvQ788S3Qvs9l2srBtT8RgmBlzOtWTI5N4sS8HxobLtUfOcJCg2uR4aQLbhuDWx9VrX9M99aYVIm.98Y1DlDJGYoUvJAY5WUKhmHRLtFXmU3t3hGqV2ZILWw&amp;dib_tag=se&amp;keywords=dr%C3%BCckbutton&amp;qid=1768295208&amp;sprefix=dr%C3%BCckbutton%2Caps%2C186&amp;sr=8-3-spons&amp;aref=5WM1NeMAUv&amp;sp_csd=d2lkZ2V0TmFtZT1zcF9hdGY&amp;th=1" TargetMode="External"/><Relationship Id="rId6" Type="http://schemas.openxmlformats.org/officeDocument/2006/relationships/hyperlink" Target="https://docs.rs-online.com/8255/0900766b814a6343.pdf" TargetMode="External"/><Relationship Id="rId11" Type="http://schemas.openxmlformats.org/officeDocument/2006/relationships/hyperlink" Target="https://www.amazon.de/DollaTek-Controller-Board-Modul-verdoppeln-Smart-Auto-Roboter/dp/B07DK6Q8F9/ref=sr_1_5?crid=Z1C708SWCMXT&amp;dib=eyJ2IjoiMSJ9.78d1CvJQQWTRW5uCH8eqYAAxxZJsSa2vuSc9SLIfAMrz0B_y91TM6tWOz5rVZTBQBetnOCdq4hDbpoyDSPdz7kRmd8H5Z_0gX_GMeHnkqCC-KIxEokGFL-V3_VA0pIN0x19qTZ3d4srLTTyP9bTz5ukQ2aeOuJhNbfRR7jP0_fXe9u2jcAjJ2z9fSO5z34Oj9OGW-MrE22sCKDk_V2gJVB0TixJ68x3DRVDrDgr8u6knef2Z56HJTTYmwf7dr9RSIXaSOjmcc9z925ZULVx4oj2XTYR4DQY8Kyg-NfUKD4A.Du4zvk3Q9jizNoTPSbHLg1aeTZiyrK05KZZJOQSzc2o&amp;dib_tag=se&amp;keywords=l298n+h-br%C3%BCcken-modul&amp;qid=1769152549&amp;sprefix=L298N+%2Caps%2C163&amp;sr=8-5" TargetMode="External"/><Relationship Id="rId24" Type="http://schemas.openxmlformats.org/officeDocument/2006/relationships/hyperlink" Target="https://www.digikey.com/en/products/detail/sullins-connector-solutions/PBC03SAAN/859624?msockid=0afce313f8e964da3532f40df9e665b4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at.rs-online.com/web/p/kabelkanale/7568859" TargetMode="External"/><Relationship Id="rId15" Type="http://schemas.openxmlformats.org/officeDocument/2006/relationships/hyperlink" Target="https://www.conrad.at/de/p/joy-it-sbc-nodemcu-esp32-entwickler-platine-node-mcu-esp32-modul-1656367.html?ef_id=:G:s&amp;msclkid=da61378b6101124944875e30cf8c5ca2&amp;utm_source=bing&amp;utm_medium=cpc&amp;utm_campaign=0_Dynamic%20Search%20Ads&amp;utm_term=conrad&amp;utm_content=All%20Webpages%20DSA" TargetMode="External"/><Relationship Id="rId23" Type="http://schemas.openxmlformats.org/officeDocument/2006/relationships/hyperlink" Target="https://s3.amazonaws.com/catalogspreads-pdf/PAGE112-113%20.100%20MALE%20HDR.pdf" TargetMode="External"/><Relationship Id="rId28" Type="http://schemas.openxmlformats.org/officeDocument/2006/relationships/hyperlink" Target="https://www.conrad.de/de/p/display-elektronik-lcd-display-16-x-2-pixel-b-x-h-x-t-80-x-36-x-7-1-mm-dem16216sgh-2238811.html?msockid=2baa5f8a6f0464b722b04a026ea76506" TargetMode="External"/><Relationship Id="rId10" Type="http://schemas.openxmlformats.org/officeDocument/2006/relationships/hyperlink" Target="https://docs.rs-online.com/6243/0900766b80060c26.pdf" TargetMode="External"/><Relationship Id="rId19" Type="http://schemas.openxmlformats.org/officeDocument/2006/relationships/hyperlink" Target="https://jlcpcb.com/partdetail/XUNPU-WAFER_HA2_544PZZ/C5359651" TargetMode="External"/><Relationship Id="rId31" Type="http://schemas.openxmlformats.org/officeDocument/2006/relationships/hyperlink" Target="https://www.digikey.at/de/products/detail/cvilux-usa/CI0604P1V00-NH/25320625?gclid=4cdf2c11b88d10b6cde645d3d5cc2080&amp;gclsrc=3p.ds&amp;&amp;utm_adgroup=&amp;utm_source=bing&amp;utm_medium=cpc&amp;utm_campaign=PMax%20Shopping_Product_High%20ROAS&amp;utm_term=&amp;productid=25320625&amp;utm_content=&amp;utm_id=bi_cmp-627379374_adg-1298524459035859_ad-81157838939736_pla-2332957516180621_dev-c_ext-_prd-25320625&amp;msclkid=4cdf2c11b88d10b6cde645d3d5cc2080" TargetMode="External"/><Relationship Id="rId4" Type="http://schemas.openxmlformats.org/officeDocument/2006/relationships/hyperlink" Target="https://at.rs-online.com/web/p/gleichstrommotoren/0420693?gb=a" TargetMode="External"/><Relationship Id="rId9" Type="http://schemas.openxmlformats.org/officeDocument/2006/relationships/hyperlink" Target="https://docs.rs-online.com/e13a/A700000007082245.pdf" TargetMode="External"/><Relationship Id="rId14" Type="http://schemas.openxmlformats.org/officeDocument/2006/relationships/hyperlink" Target="https://www.makerbeam.com/openbeam-button-head-socket-bolt-6mm-100p-for-open.html" TargetMode="External"/><Relationship Id="rId22" Type="http://schemas.openxmlformats.org/officeDocument/2006/relationships/hyperlink" Target="https://jlcpcb.com/partdetail/DEGSON-DG305_5_0_02P_12_00A_H/C5632695" TargetMode="External"/><Relationship Id="rId27" Type="http://schemas.openxmlformats.org/officeDocument/2006/relationships/hyperlink" Target="https://www.lcsc.com/datasheet/C18214196.pdf?spm=wm.sxq.inf.ggs&amp;lcsc_vid=FlkIVAcFT1QNAVMET1YMBQZfQQQIBFAFR1ReVlJeRFExVlNRRFhfV1RXQVVaUjsOAxUeFF5JWBYZEEoEHg8JSQcJGk4%3D" TargetMode="External"/><Relationship Id="rId30" Type="http://schemas.openxmlformats.org/officeDocument/2006/relationships/hyperlink" Target="https://www.digikey.at/de/products/detail/cvilux-usa/CI0604P1V00-NH/25320625?gclid=4cdf2c11b88d10b6cde645d3d5cc2080&amp;gclsrc=3p.ds&amp;&amp;utm_adgroup=&amp;utm_source=bing&amp;utm_medium=cpc&amp;utm_campaign=PMax%20Shopping_Product_High%20ROAS&amp;utm_term=&amp;productid=25320625&amp;utm_content=&amp;utm_id=bi_cmp-627379374_adg-1298524459035859_ad-81157838939736_pla-2332957516180621_dev-c_ext-_prd-25320625&amp;msclkid=4cdf2c11b88d10b6cde645d3d5cc2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37D1-47CA-442F-8EA3-0AF4D09E7E50}">
  <dimension ref="A3:AL68"/>
  <sheetViews>
    <sheetView tabSelected="1" topLeftCell="A16" workbookViewId="0">
      <selection activeCell="A25" sqref="A25"/>
    </sheetView>
  </sheetViews>
  <sheetFormatPr baseColWidth="10" defaultColWidth="11.36328125" defaultRowHeight="15" customHeight="1" x14ac:dyDescent="0.35"/>
  <cols>
    <col min="1" max="1" width="55.36328125" customWidth="1"/>
    <col min="2" max="2" width="62.6328125" customWidth="1"/>
    <col min="3" max="3" width="30.36328125" customWidth="1"/>
    <col min="4" max="4" width="14" customWidth="1"/>
    <col min="5" max="5" width="14.81640625" customWidth="1"/>
    <col min="6" max="6" width="66.08984375" customWidth="1"/>
    <col min="7" max="7" width="12.81640625" customWidth="1"/>
  </cols>
  <sheetData>
    <row r="3" spans="1:7" ht="15" customHeight="1" x14ac:dyDescent="0.35">
      <c r="A3" s="7" t="s">
        <v>0</v>
      </c>
      <c r="C3" t="s">
        <v>1</v>
      </c>
    </row>
    <row r="4" spans="1:7" s="2" customFormat="1" ht="14.5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ht="14.5" x14ac:dyDescent="0.35">
      <c r="A5" t="s">
        <v>9</v>
      </c>
      <c r="B5" t="s">
        <v>10</v>
      </c>
      <c r="C5">
        <v>1</v>
      </c>
      <c r="D5">
        <v>8.49</v>
      </c>
      <c r="E5">
        <f>D5*C5</f>
        <v>8.49</v>
      </c>
      <c r="F5" s="5" t="s">
        <v>11</v>
      </c>
      <c r="G5" s="5" t="s">
        <v>12</v>
      </c>
    </row>
    <row r="6" spans="1:7" ht="14.5" x14ac:dyDescent="0.35">
      <c r="A6" t="s">
        <v>13</v>
      </c>
      <c r="B6" t="s">
        <v>14</v>
      </c>
      <c r="C6">
        <v>1</v>
      </c>
      <c r="D6">
        <v>13.99</v>
      </c>
      <c r="E6">
        <f>D6</f>
        <v>13.99</v>
      </c>
      <c r="F6" s="5" t="s">
        <v>15</v>
      </c>
      <c r="G6" s="5" t="s">
        <v>16</v>
      </c>
    </row>
    <row r="7" spans="1:7" ht="14.5" x14ac:dyDescent="0.35">
      <c r="A7" t="s">
        <v>17</v>
      </c>
      <c r="B7" t="s">
        <v>18</v>
      </c>
      <c r="C7">
        <v>2</v>
      </c>
      <c r="D7">
        <v>24.44</v>
      </c>
      <c r="E7">
        <f>D7*2</f>
        <v>48.88</v>
      </c>
      <c r="F7" s="1" t="s">
        <v>19</v>
      </c>
      <c r="G7" s="1" t="s">
        <v>20</v>
      </c>
    </row>
    <row r="8" spans="1:7" ht="14.5" x14ac:dyDescent="0.35">
      <c r="A8" t="s">
        <v>21</v>
      </c>
      <c r="B8" t="s">
        <v>22</v>
      </c>
      <c r="C8">
        <v>2</v>
      </c>
      <c r="D8">
        <v>0.17</v>
      </c>
      <c r="E8">
        <v>0.33</v>
      </c>
      <c r="F8" s="1" t="s">
        <v>23</v>
      </c>
      <c r="G8" s="1" t="s">
        <v>23</v>
      </c>
    </row>
    <row r="9" spans="1:7" ht="14.5" x14ac:dyDescent="0.35">
      <c r="A9" t="s">
        <v>24</v>
      </c>
      <c r="B9" t="s">
        <v>25</v>
      </c>
      <c r="C9">
        <v>1</v>
      </c>
      <c r="D9">
        <v>0.45</v>
      </c>
      <c r="E9">
        <f>D9</f>
        <v>0.45</v>
      </c>
      <c r="F9" s="1" t="s">
        <v>26</v>
      </c>
      <c r="G9" s="1" t="s">
        <v>27</v>
      </c>
    </row>
    <row r="10" spans="1:7" ht="14.5" x14ac:dyDescent="0.35">
      <c r="A10" t="s">
        <v>28</v>
      </c>
      <c r="B10" t="s">
        <v>29</v>
      </c>
      <c r="C10">
        <v>1</v>
      </c>
      <c r="D10">
        <v>0.03</v>
      </c>
      <c r="E10">
        <f>D10*C10</f>
        <v>0.03</v>
      </c>
      <c r="F10" s="1" t="s">
        <v>30</v>
      </c>
      <c r="G10" s="1" t="s">
        <v>30</v>
      </c>
    </row>
    <row r="11" spans="1:7" ht="14.5" x14ac:dyDescent="0.35">
      <c r="A11" t="s">
        <v>28</v>
      </c>
      <c r="B11" t="s">
        <v>31</v>
      </c>
      <c r="C11">
        <v>1</v>
      </c>
      <c r="D11">
        <v>0.03</v>
      </c>
      <c r="E11">
        <f>D11*C11</f>
        <v>0.03</v>
      </c>
      <c r="F11" s="1" t="s">
        <v>32</v>
      </c>
      <c r="G11" s="1" t="s">
        <v>32</v>
      </c>
    </row>
    <row r="12" spans="1:7" ht="14.5" x14ac:dyDescent="0.35">
      <c r="A12" t="s">
        <v>33</v>
      </c>
      <c r="B12" t="s">
        <v>34</v>
      </c>
      <c r="C12">
        <v>1</v>
      </c>
      <c r="D12">
        <v>20.64</v>
      </c>
      <c r="E12">
        <v>20.64</v>
      </c>
      <c r="F12" s="1" t="s">
        <v>35</v>
      </c>
      <c r="G12" s="5" t="s">
        <v>36</v>
      </c>
    </row>
    <row r="13" spans="1:7" ht="14.5" x14ac:dyDescent="0.35">
      <c r="A13" t="s">
        <v>37</v>
      </c>
      <c r="B13" t="s">
        <v>38</v>
      </c>
      <c r="C13">
        <v>1</v>
      </c>
      <c r="D13">
        <f>E13</f>
        <v>5.03</v>
      </c>
      <c r="E13">
        <v>5.03</v>
      </c>
      <c r="F13" s="5" t="s">
        <v>39</v>
      </c>
      <c r="G13" s="5" t="s">
        <v>40</v>
      </c>
    </row>
    <row r="14" spans="1:7" ht="14.5" x14ac:dyDescent="0.35">
      <c r="A14" t="s">
        <v>41</v>
      </c>
      <c r="B14" t="s">
        <v>42</v>
      </c>
      <c r="C14">
        <v>1</v>
      </c>
      <c r="D14">
        <v>2.82</v>
      </c>
      <c r="E14">
        <v>2.82</v>
      </c>
      <c r="F14" s="5" t="s">
        <v>43</v>
      </c>
      <c r="G14" s="5" t="s">
        <v>44</v>
      </c>
    </row>
    <row r="15" spans="1:7" ht="14.5" x14ac:dyDescent="0.35">
      <c r="A15" t="s">
        <v>45</v>
      </c>
      <c r="B15" t="s">
        <v>46</v>
      </c>
      <c r="C15">
        <v>1</v>
      </c>
      <c r="D15">
        <f>E15/5</f>
        <v>6.8000000000000005E-2</v>
      </c>
      <c r="E15">
        <v>0.34</v>
      </c>
      <c r="F15" s="5" t="s">
        <v>47</v>
      </c>
      <c r="G15" s="5"/>
    </row>
    <row r="16" spans="1:7" ht="14.5" x14ac:dyDescent="0.35">
      <c r="A16" t="s">
        <v>48</v>
      </c>
      <c r="B16" t="s">
        <v>49</v>
      </c>
      <c r="C16">
        <v>1</v>
      </c>
      <c r="D16">
        <v>0.09</v>
      </c>
      <c r="E16">
        <f>D16</f>
        <v>0.09</v>
      </c>
      <c r="F16" s="5" t="s">
        <v>50</v>
      </c>
      <c r="G16" s="1" t="s">
        <v>50</v>
      </c>
    </row>
    <row r="17" spans="1:38" ht="15" customHeight="1" x14ac:dyDescent="0.35">
      <c r="A17" s="2" t="s">
        <v>51</v>
      </c>
      <c r="B17" s="3" t="s">
        <v>52</v>
      </c>
      <c r="C17" s="2" t="s">
        <v>53</v>
      </c>
      <c r="D17" s="2">
        <v>0.36</v>
      </c>
      <c r="E17" s="2">
        <v>8.56</v>
      </c>
      <c r="F17" s="2" t="s">
        <v>54</v>
      </c>
      <c r="G17" s="4" t="s">
        <v>55</v>
      </c>
    </row>
    <row r="18" spans="1:38" ht="15" customHeight="1" x14ac:dyDescent="0.35">
      <c r="A18" t="s">
        <v>56</v>
      </c>
      <c r="B18" t="s">
        <v>57</v>
      </c>
      <c r="C18" t="s">
        <v>58</v>
      </c>
      <c r="D18">
        <v>4.24</v>
      </c>
      <c r="E18">
        <v>8.48</v>
      </c>
      <c r="F18" t="s">
        <v>59</v>
      </c>
      <c r="G18" s="1" t="s">
        <v>60</v>
      </c>
    </row>
    <row r="19" spans="1:38" ht="15" customHeight="1" x14ac:dyDescent="0.35">
      <c r="A19" t="s">
        <v>61</v>
      </c>
      <c r="B19" t="s">
        <v>62</v>
      </c>
      <c r="C19" t="s">
        <v>63</v>
      </c>
      <c r="D19">
        <v>5.85</v>
      </c>
      <c r="E19">
        <v>11.7</v>
      </c>
      <c r="F19" t="s">
        <v>64</v>
      </c>
      <c r="G19" s="1" t="s">
        <v>65</v>
      </c>
    </row>
    <row r="20" spans="1:38" ht="15" customHeight="1" x14ac:dyDescent="0.35">
      <c r="A20" t="s">
        <v>66</v>
      </c>
      <c r="B20" t="s">
        <v>67</v>
      </c>
      <c r="C20" t="s">
        <v>68</v>
      </c>
      <c r="G20" s="1"/>
    </row>
    <row r="21" spans="1:38" ht="15" customHeight="1" x14ac:dyDescent="0.35">
      <c r="A21" t="s">
        <v>69</v>
      </c>
      <c r="B21" t="s">
        <v>70</v>
      </c>
      <c r="C21" t="s">
        <v>53</v>
      </c>
      <c r="D21">
        <v>8.98</v>
      </c>
      <c r="E21">
        <v>8.98</v>
      </c>
      <c r="F21" s="1" t="s">
        <v>71</v>
      </c>
      <c r="G21" s="1" t="s">
        <v>72</v>
      </c>
    </row>
    <row r="22" spans="1:38" ht="15" customHeight="1" x14ac:dyDescent="0.35">
      <c r="A22" t="s">
        <v>73</v>
      </c>
      <c r="B22" t="s">
        <v>74</v>
      </c>
      <c r="C22" t="s">
        <v>75</v>
      </c>
      <c r="D22">
        <v>7.25</v>
      </c>
      <c r="E22">
        <v>7.25</v>
      </c>
      <c r="F22" s="1" t="s">
        <v>76</v>
      </c>
      <c r="G22" s="1" t="s">
        <v>77</v>
      </c>
    </row>
    <row r="23" spans="1:38" ht="45" customHeight="1" x14ac:dyDescent="0.35">
      <c r="A23" s="6" t="s">
        <v>78</v>
      </c>
      <c r="B23" s="6" t="s">
        <v>79</v>
      </c>
      <c r="C23">
        <f>2*5+4*2+6*2</f>
        <v>30</v>
      </c>
      <c r="D23">
        <v>5.98</v>
      </c>
      <c r="E23">
        <v>5.98</v>
      </c>
      <c r="F23" s="1" t="s">
        <v>80</v>
      </c>
      <c r="G23" s="1" t="s">
        <v>81</v>
      </c>
    </row>
    <row r="24" spans="1:38" ht="15" customHeight="1" x14ac:dyDescent="0.35">
      <c r="A24" t="s">
        <v>82</v>
      </c>
      <c r="C24" s="8">
        <f>C23</f>
        <v>30</v>
      </c>
    </row>
    <row r="27" spans="1:38" s="2" customFormat="1" ht="15" customHeight="1" x14ac:dyDescent="0.35">
      <c r="A27" s="9"/>
      <c r="B27" s="9"/>
      <c r="C27" s="9"/>
      <c r="D27"/>
      <c r="E27" s="9"/>
      <c r="F27" s="9"/>
      <c r="G27" s="9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</row>
    <row r="28" spans="1:38" ht="15" customHeight="1" x14ac:dyDescent="0.35">
      <c r="E28" s="10"/>
      <c r="F28" s="11"/>
      <c r="G28" s="12"/>
    </row>
    <row r="29" spans="1:38" ht="15" customHeight="1" x14ac:dyDescent="0.35">
      <c r="F29" s="11"/>
      <c r="G29" s="12"/>
    </row>
    <row r="30" spans="1:38" ht="15" customHeight="1" x14ac:dyDescent="0.35">
      <c r="E30" s="10"/>
      <c r="F30" s="13"/>
      <c r="G30" s="12"/>
    </row>
    <row r="31" spans="1:38" ht="15" customHeight="1" x14ac:dyDescent="0.35">
      <c r="E31" s="10"/>
      <c r="F31" s="13"/>
      <c r="G31" s="12"/>
    </row>
    <row r="32" spans="1:38" ht="15" customHeight="1" x14ac:dyDescent="0.35">
      <c r="A32" s="8"/>
      <c r="E32" s="14"/>
      <c r="F32" s="11"/>
      <c r="G32" s="12"/>
    </row>
    <row r="33" spans="1:7" ht="15" customHeight="1" x14ac:dyDescent="0.35">
      <c r="E33" s="10"/>
      <c r="F33" s="12"/>
      <c r="G33" s="12"/>
    </row>
    <row r="34" spans="1:7" ht="15" customHeight="1" x14ac:dyDescent="0.35">
      <c r="E34" s="10"/>
      <c r="F34" s="12"/>
      <c r="G34" s="12"/>
    </row>
    <row r="40" spans="1:7" ht="15" customHeight="1" x14ac:dyDescent="0.35">
      <c r="A40" s="9"/>
      <c r="B40" s="9"/>
      <c r="C40" s="9"/>
      <c r="D40" s="9"/>
      <c r="E40" s="9"/>
      <c r="G40" s="9"/>
    </row>
    <row r="41" spans="1:7" ht="15" customHeight="1" x14ac:dyDescent="0.35">
      <c r="D41" s="15"/>
      <c r="E41" s="15"/>
      <c r="F41" s="12"/>
      <c r="G41" s="12"/>
    </row>
    <row r="42" spans="1:7" ht="15" customHeight="1" x14ac:dyDescent="0.35">
      <c r="D42" s="15"/>
      <c r="E42" s="15"/>
      <c r="G42" s="16"/>
    </row>
    <row r="43" spans="1:7" ht="15" customHeight="1" x14ac:dyDescent="0.35">
      <c r="D43" s="15"/>
      <c r="E43" s="15"/>
      <c r="G43" s="16"/>
    </row>
    <row r="44" spans="1:7" ht="15" customHeight="1" x14ac:dyDescent="0.35">
      <c r="D44" s="15"/>
      <c r="E44" s="15"/>
      <c r="G44" s="16"/>
    </row>
    <row r="49" spans="1:38" s="2" customFormat="1" ht="15" customHeight="1" x14ac:dyDescent="0.35">
      <c r="A49"/>
      <c r="B49"/>
      <c r="C49"/>
      <c r="D49" s="9"/>
      <c r="E49" s="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5" spans="1:38" ht="15" customHeight="1" x14ac:dyDescent="0.35">
      <c r="F55" s="12"/>
      <c r="G55" s="12"/>
    </row>
    <row r="56" spans="1:38" ht="15" customHeight="1" x14ac:dyDescent="0.35">
      <c r="G56" s="12"/>
    </row>
    <row r="57" spans="1:38" ht="15" customHeight="1" x14ac:dyDescent="0.35">
      <c r="G57" s="12"/>
    </row>
    <row r="58" spans="1:38" ht="15" customHeight="1" x14ac:dyDescent="0.35">
      <c r="F58" s="12"/>
    </row>
    <row r="61" spans="1:38" ht="15" customHeight="1" x14ac:dyDescent="0.35">
      <c r="F61" s="12"/>
      <c r="G61" s="12"/>
    </row>
    <row r="62" spans="1:38" ht="15" customHeight="1" x14ac:dyDescent="0.35">
      <c r="E62" s="10"/>
      <c r="F62" s="11"/>
      <c r="G62" s="12"/>
    </row>
    <row r="63" spans="1:38" ht="15" customHeight="1" x14ac:dyDescent="0.35">
      <c r="F63" s="12"/>
      <c r="G63" s="12"/>
    </row>
    <row r="64" spans="1:38" ht="15" customHeight="1" x14ac:dyDescent="0.35">
      <c r="F64" s="12"/>
      <c r="G64" s="12"/>
    </row>
    <row r="65" spans="4:7" ht="15" customHeight="1" x14ac:dyDescent="0.35">
      <c r="F65" s="12"/>
      <c r="G65" s="12"/>
    </row>
    <row r="66" spans="4:7" ht="15" customHeight="1" x14ac:dyDescent="0.35">
      <c r="F66" s="12"/>
      <c r="G66" s="12"/>
    </row>
    <row r="67" spans="4:7" ht="15" customHeight="1" x14ac:dyDescent="0.35">
      <c r="F67" s="12"/>
      <c r="G67" s="12"/>
    </row>
    <row r="68" spans="4:7" ht="15" customHeight="1" x14ac:dyDescent="0.35">
      <c r="D68" s="17"/>
      <c r="F68" s="12"/>
      <c r="G68" s="12"/>
    </row>
  </sheetData>
  <hyperlinks>
    <hyperlink ref="G17" r:id="rId1" display="https://www.amazon.de/APIELE-Aus-Taste-Runder-Druckknopf-Selbstreset-Schalter/dp/B0F4M7M4CQ/ref=sr_1_3_sspa?__mk_de_DE=%C3%85M%C3%85%C5%BD%C3%95%C3%91&amp;crid=2RK02GJPLCTRI&amp;dib=eyJ2IjoiMSJ9.t4EvF1WlmkgtS4nwNdXy2BXjElHpObUcBJ18aoP13M18U_TLv2q1_b9N2C8T5_KcaNEhJVgb5lUWMQfZS9vg6-h52G9R8Ds-nVr6cVQ6iy9Bbyt46irYhvQ788S3Qvs9l2srBtT8RgmBlzOtWTI5N4sS8HxobLtUfOcJCg2uR4aQLbhuDWx9VrX9M99aYVIm.98Y1DlDJGYoUvJAY5WUKhmHRLtFXmU3t3hGqV2ZILWw&amp;dib_tag=se&amp;keywords=dr%C3%BCckbutton&amp;qid=1768295208&amp;sprefix=dr%C3%BCckbutton%2Caps%2C186&amp;sr=8-3-spons&amp;aref=5WM1NeMAUv&amp;sp_csd=d2lkZ2V0TmFtZT1zcF9hdGY&amp;th=1" xr:uid="{DB6EC1E2-A587-408F-B7DD-2779AE125BC8}"/>
    <hyperlink ref="G18" r:id="rId2" xr:uid="{CA480D89-4C97-4511-B5A8-325E63E7DC47}"/>
    <hyperlink ref="G19" r:id="rId3" xr:uid="{E17C2D03-4250-45F0-93F2-85E7FEFEDE34}"/>
    <hyperlink ref="G7" r:id="rId4" xr:uid="{DE2CF8B9-FB3F-4B86-B301-3CFFE0A6F5DA}"/>
    <hyperlink ref="G12" r:id="rId5" xr:uid="{E40945A3-E1AE-4FFF-8BC2-F32C121777A3}"/>
    <hyperlink ref="F12" r:id="rId6" xr:uid="{2633DF4B-6F8E-4C8A-A1FF-1DA405A94A50}"/>
    <hyperlink ref="G21" r:id="rId7" xr:uid="{CE098BFA-F615-42BA-8A0C-F5C2E90EFE66}"/>
    <hyperlink ref="F21" r:id="rId8" xr:uid="{55D93669-19D1-49A4-A9BE-18CD80482900}"/>
    <hyperlink ref="F7" r:id="rId9" xr:uid="{06C2DA0A-5894-41E2-9770-37647D954327}"/>
    <hyperlink ref="F13" r:id="rId10" xr:uid="{719476E1-DAFB-4068-BF4A-E9E27C0A94FC}"/>
    <hyperlink ref="G13" r:id="rId11" display="https://www.amazon.de/DollaTek-Controller-Board-Modul-verdoppeln-Smart-Auto-Roboter/dp/B07DK6Q8F9/ref=sr_1_5?crid=Z1C708SWCMXT&amp;dib=eyJ2IjoiMSJ9.78d1CvJQQWTRW5uCH8eqYAAxxZJsSa2vuSc9SLIfAMrz0B_y91TM6tWOz5rVZTBQBetnOCdq4hDbpoyDSPdz7kRmd8H5Z_0gX_GMeHnkqCC-KIxEokGFL-V3_VA0pIN0x19qTZ3d4srLTTyP9bTz5ukQ2aeOuJhNbfRR7jP0_fXe9u2jcAjJ2z9fSO5z34Oj9OGW-MrE22sCKDk_V2gJVB0TixJ68x3DRVDrDgr8u6knef2Z56HJTTYmwf7dr9RSIXaSOjmcc9z925ZULVx4oj2XTYR4DQY8Kyg-NfUKD4A.Du4zvk3Q9jizNoTPSbHLg1aeTZiyrK05KZZJOQSzc2o&amp;dib_tag=se&amp;keywords=l298n+h-br%C3%BCcken-modul&amp;qid=1769152549&amp;sprefix=L298N+%2Caps%2C163&amp;sr=8-5" xr:uid="{B4B73E86-0D7E-4124-B300-A82C6A61D534}"/>
    <hyperlink ref="F22" r:id="rId12" xr:uid="{85C0B6CB-72EE-4E5E-923E-506B893B8E36}"/>
    <hyperlink ref="G22" r:id="rId13" xr:uid="{3D72DFFF-09B2-478B-9883-D80246B4BF8F}"/>
    <hyperlink ref="G23" r:id="rId14" xr:uid="{29D2629B-91EF-40B9-B430-4DF62D6BD8CB}"/>
    <hyperlink ref="G5" r:id="rId15" display="https://www.conrad.at/de/p/joy-it-sbc-nodemcu-esp32-entwickler-platine-node-mcu-esp32-modul-1656367.html?ef_id=:G:s&amp;msclkid=da61378b6101124944875e30cf8c5ca2&amp;utm_source=bing&amp;utm_medium=cpc&amp;utm_campaign=0_Dynamic%20Search%20Ads&amp;utm_term=conrad&amp;utm_content=All%20Webpages%20DSA" xr:uid="{DF452B7A-CE2B-41BE-BF78-EBB1480F6A88}"/>
    <hyperlink ref="F5" r:id="rId16" xr:uid="{0BCE897D-FB38-42F1-AABB-0CCB771268B2}"/>
    <hyperlink ref="G10" r:id="rId17" xr:uid="{3817742F-3F50-4F87-AC7C-E46D85B1068D}"/>
    <hyperlink ref="F10" r:id="rId18" xr:uid="{39DABABA-F28E-4CB9-88D2-684B9D067984}"/>
    <hyperlink ref="F11" r:id="rId19" xr:uid="{909F3C46-DE77-4A12-9F07-C1F8B25F01EF}"/>
    <hyperlink ref="G11" r:id="rId20" xr:uid="{E70894CF-B940-4CAA-81C6-DBF1325085F5}"/>
    <hyperlink ref="G8" r:id="rId21" xr:uid="{D72FD3A1-289A-48A7-994E-4BB284941DF4}"/>
    <hyperlink ref="F8" r:id="rId22" xr:uid="{1F9A7099-F39C-432D-A5BC-D1AAA4C4FC97}"/>
    <hyperlink ref="F9" r:id="rId23" xr:uid="{5671CD03-76E1-48D1-9507-CF4B9713154F}"/>
    <hyperlink ref="G9" r:id="rId24" xr:uid="{B2291401-0B93-48F3-B74E-EE9243C6ECF9}"/>
    <hyperlink ref="G14" r:id="rId25" display="https://www.reichelt.at/at/de/shop/produkt/entwicklerboards_-_spannungsregler_dc_dc-wandler_lm2596-282577?PROVID=2865&amp;msclkid=058b24a440d41f7684da4d1ff7780d1a&amp;utm_source=bing&amp;utm_medium=cpc&amp;utm_campaign=(AT%3A%20PMax)%20-%20Alle%20Produkte&amp;utm_term=2324367582954993&amp;utm_content=Shopping%20Only" xr:uid="{66386CDB-8770-40CA-B820-FDE9C91412D3}"/>
    <hyperlink ref="F14" r:id="rId26" xr:uid="{63385D65-C0CF-440A-84B5-2B7E99D16470}"/>
    <hyperlink ref="F15" r:id="rId27" xr:uid="{E2E4F4A0-32AE-4E0E-8589-FBA48353B973}"/>
    <hyperlink ref="G6" r:id="rId28" xr:uid="{ED4449D9-E236-4AA3-AD10-C7FF3656F206}"/>
    <hyperlink ref="F6" r:id="rId29" xr:uid="{C45E208C-E398-4A90-A279-5567781521DF}"/>
    <hyperlink ref="G16" r:id="rId30" display="https://www.digikey.at/de/products/detail/cvilux-usa/CI0604P1V00-NH/25320625?gclid=4cdf2c11b88d10b6cde645d3d5cc2080&amp;gclsrc=3p.ds&amp;&amp;utm_adgroup=&amp;utm_source=bing&amp;utm_medium=cpc&amp;utm_campaign=PMax%20Shopping_Product_High%20ROAS&amp;utm_term=&amp;productid=25320625&amp;utm_content=&amp;utm_id=bi_cmp-627379374_adg-1298524459035859_ad-81157838939736_pla-2332957516180621_dev-c_ext-_prd-25320625&amp;msclkid=4cdf2c11b88d10b6cde645d3d5cc2080" xr:uid="{9BF8DAB6-D949-4805-9862-891877906466}"/>
    <hyperlink ref="F16" r:id="rId31" display="https://www.digikey.at/de/products/detail/cvilux-usa/CI0604P1V00-NH/25320625?gclid=4cdf2c11b88d10b6cde645d3d5cc2080&amp;gclsrc=3p.ds&amp;&amp;utm_adgroup=&amp;utm_source=bing&amp;utm_medium=cpc&amp;utm_campaign=PMax%20Shopping_Product_High%20ROAS&amp;utm_term=&amp;productid=25320625&amp;utm_content=&amp;utm_id=bi_cmp-627379374_adg-1298524459035859_ad-81157838939736_pla-2332957516180621_dev-c_ext-_prd-25320625&amp;msclkid=4cdf2c11b88d10b6cde645d3d5cc2080" xr:uid="{183540FB-EC0D-4B32-AE7E-84EE5D8B6F42}"/>
  </hyperlinks>
  <pageMargins left="0.7" right="0.7" top="0.78740157499999996" bottom="0.78740157499999996" header="0.3" footer="0.3"/>
  <tableParts count="1">
    <tablePart r:id="rId3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80be42-7ea9-4824-bca4-1af6e9998e40" xsi:nil="true"/>
    <lcf76f155ced4ddcb4097134ff3c332f xmlns="80e0ce60-6d73-4f22-8efa-583dd61b38a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6182DFB92986B40983C102328C5D723" ma:contentTypeVersion="10" ma:contentTypeDescription="Ein neues Dokument erstellen." ma:contentTypeScope="" ma:versionID="4c3a62a0b7c37ad92c234a8575bb4c81">
  <xsd:schema xmlns:xsd="http://www.w3.org/2001/XMLSchema" xmlns:xs="http://www.w3.org/2001/XMLSchema" xmlns:p="http://schemas.microsoft.com/office/2006/metadata/properties" xmlns:ns2="80e0ce60-6d73-4f22-8efa-583dd61b38a6" xmlns:ns3="6b80be42-7ea9-4824-bca4-1af6e9998e40" targetNamespace="http://schemas.microsoft.com/office/2006/metadata/properties" ma:root="true" ma:fieldsID="378231f9db0de1fb5ff8ac0a4788cbcf" ns2:_="" ns3:_="">
    <xsd:import namespace="80e0ce60-6d73-4f22-8efa-583dd61b38a6"/>
    <xsd:import namespace="6b80be42-7ea9-4824-bca4-1af6e9998e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0ce60-6d73-4f22-8efa-583dd61b38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f7be1696-1458-4fbb-921e-8af814e759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0be42-7ea9-4824-bca4-1af6e9998e4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a44260-1bfc-494a-ac8e-9c8ab545901e}" ma:internalName="TaxCatchAll" ma:showField="CatchAllData" ma:web="6b80be42-7ea9-4824-bca4-1af6e9998e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6BC598-5F69-48F8-A3B9-E9DBAA18F232}">
  <ds:schemaRefs>
    <ds:schemaRef ds:uri="http://schemas.microsoft.com/office/2006/metadata/properties"/>
    <ds:schemaRef ds:uri="http://schemas.microsoft.com/office/infopath/2007/PartnerControls"/>
    <ds:schemaRef ds:uri="6b80be42-7ea9-4824-bca4-1af6e9998e40"/>
    <ds:schemaRef ds:uri="80e0ce60-6d73-4f22-8efa-583dd61b38a6"/>
  </ds:schemaRefs>
</ds:datastoreItem>
</file>

<file path=customXml/itemProps2.xml><?xml version="1.0" encoding="utf-8"?>
<ds:datastoreItem xmlns:ds="http://schemas.openxmlformats.org/officeDocument/2006/customXml" ds:itemID="{E92FA24D-1929-465D-B9B2-50D69E4F45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FEE953-ACA5-4A42-8F93-D6995045B2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e0ce60-6d73-4f22-8efa-583dd61b38a6"/>
    <ds:schemaRef ds:uri="6b80be42-7ea9-4824-bca4-1af6e9998e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Jutz Sophie Mala</dc:creator>
  <cp:keywords/>
  <dc:description/>
  <cp:lastModifiedBy>Kunz Florian</cp:lastModifiedBy>
  <cp:revision/>
  <dcterms:created xsi:type="dcterms:W3CDTF">2025-12-19T07:24:55Z</dcterms:created>
  <dcterms:modified xsi:type="dcterms:W3CDTF">2026-03-27T07:25:02Z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0x010100B6182DFB92986B40983C102328C5D723</vt:lpwstr>
  </property>
  <property fmtid="{D5CDD505-2E9C-101B-9397-08002B2CF9AE}" pid="3" name="MediaServiceImageTags">
    <vt:lpwstr/>
  </property>
</Properties>
</file>